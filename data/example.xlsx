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Сотрудники" sheetId="1" r:id="rId1"/>
    <sheet name="Продажи" sheetId="2" r:id="rId2"/>
    <sheet name="Склад" sheetId="3" r:id="rId3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6"/>
  <sheetViews>
    <sheetView workbookViewId="0"/>
  </sheetViews>
  <sheetData>
    <row r="1">
      <c r="A1" t="str">
        <v>ID</v>
      </c>
      <c r="B1" t="str">
        <v>Имя</v>
      </c>
      <c r="C1" t="str">
        <v>Email</v>
      </c>
      <c r="D1" t="str">
        <v>Отдел</v>
      </c>
      <c r="E1" t="str">
        <v>Зарплата</v>
      </c>
    </row>
    <row r="2">
      <c r="A2">
        <v>1</v>
      </c>
      <c r="B2" t="str">
        <v>Алексей Иванов</v>
      </c>
      <c r="C2" t="str">
        <v>ivanov@example.com</v>
      </c>
      <c r="D2" t="str">
        <v>Разработка</v>
      </c>
      <c r="E2">
        <v>120000</v>
      </c>
    </row>
    <row r="3">
      <c r="A3">
        <v>2</v>
      </c>
      <c r="B3" t="str">
        <v>Мария Петрова</v>
      </c>
      <c r="C3" t="str">
        <v>petrova@example.com</v>
      </c>
      <c r="D3" t="str">
        <v>Маркетинг</v>
      </c>
      <c r="E3">
        <v>95000</v>
      </c>
    </row>
    <row r="4">
      <c r="A4">
        <v>3</v>
      </c>
      <c r="B4" t="str">
        <v>Дмитрий Смирнов</v>
      </c>
      <c r="C4" t="str">
        <v>smirnov@example.com</v>
      </c>
      <c r="D4" t="str">
        <v>HR</v>
      </c>
      <c r="E4">
        <v>85000</v>
      </c>
    </row>
    <row r="5">
      <c r="A5">
        <v>4</v>
      </c>
      <c r="B5" t="str">
        <v>Ольга Козлова</v>
      </c>
      <c r="C5" t="str">
        <v>kozlova@example.com</v>
      </c>
      <c r="D5" t="str">
        <v>Разработка</v>
      </c>
      <c r="E5">
        <v>130000</v>
      </c>
    </row>
    <row r="6">
      <c r="A6">
        <v>5</v>
      </c>
      <c r="B6" t="str">
        <v>Иван Волков</v>
      </c>
      <c r="C6" t="str">
        <v>volkov@example.com</v>
      </c>
      <c r="D6" t="str">
        <v>Финансы</v>
      </c>
      <c r="E6">
        <v>110000</v>
      </c>
    </row>
  </sheetData>
  <ignoredErrors>
    <ignoredError numberStoredAsText="1" sqref="A1:E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E8"/>
  <sheetViews>
    <sheetView workbookViewId="0"/>
  </sheetViews>
  <sheetData>
    <row r="1">
      <c r="A1" t="str">
        <v>Месяц</v>
      </c>
      <c r="B1" t="str">
        <v>Товар</v>
      </c>
      <c r="C1" t="str">
        <v>Количество</v>
      </c>
      <c r="D1" t="str">
        <v>Цена</v>
      </c>
      <c r="E1" t="str">
        <v>Итого</v>
      </c>
    </row>
    <row r="2">
      <c r="A2" t="str">
        <v>Январь</v>
      </c>
      <c r="B2" t="str">
        <v>Ноутбук</v>
      </c>
      <c r="C2">
        <v>10</v>
      </c>
      <c r="D2">
        <v>85000</v>
      </c>
      <c r="E2">
        <f>C2*D2</f>
        <v>850000</v>
      </c>
    </row>
    <row r="3">
      <c r="A3" t="str">
        <v>Январь</v>
      </c>
      <c r="B3" t="str">
        <v>Телефон</v>
      </c>
      <c r="C3">
        <v>25</v>
      </c>
      <c r="D3">
        <v>45000</v>
      </c>
      <c r="E3">
        <f>C3*D3</f>
        <v>1125000</v>
      </c>
    </row>
    <row r="4">
      <c r="A4" t="str">
        <v>Февраль</v>
      </c>
      <c r="B4" t="str">
        <v>Ноутбук</v>
      </c>
      <c r="C4">
        <v>15</v>
      </c>
      <c r="D4">
        <v>85000</v>
      </c>
      <c r="E4">
        <f>C4*D4</f>
        <v>1275000</v>
      </c>
    </row>
    <row r="5">
      <c r="A5" t="str">
        <v>Февраль</v>
      </c>
      <c r="B5" t="str">
        <v>Телефон</v>
      </c>
      <c r="C5">
        <v>30</v>
      </c>
      <c r="D5">
        <v>45000</v>
      </c>
      <c r="E5">
        <f>C5*D5</f>
        <v>1350000</v>
      </c>
    </row>
    <row r="6">
      <c r="A6" t="str">
        <v>Март</v>
      </c>
      <c r="B6" t="str">
        <v>Ноутбук</v>
      </c>
      <c r="C6">
        <v>20</v>
      </c>
      <c r="D6">
        <v>85000</v>
      </c>
      <c r="E6">
        <f>C6*D6</f>
        <v>1700000</v>
      </c>
    </row>
    <row r="7">
      <c r="A7" t="str">
        <v>Март</v>
      </c>
      <c r="B7" t="str">
        <v>Телефон</v>
      </c>
      <c r="C7">
        <v>40</v>
      </c>
      <c r="D7">
        <v>45000</v>
      </c>
      <c r="E7">
        <f>C7*D7</f>
        <v>1800000</v>
      </c>
    </row>
    <row r="8">
      <c r="A8" t="str">
        <v/>
      </c>
      <c r="B8" t="str">
        <v/>
      </c>
      <c r="C8" t="str">
        <v/>
      </c>
      <c r="D8" t="str">
        <v>Общий итог:</v>
      </c>
      <c r="E8">
        <f>SUM(E2:E7)</f>
        <v>8100000</v>
      </c>
    </row>
  </sheetData>
  <ignoredErrors>
    <ignoredError numberStoredAsText="1" sqref="A1:E8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6"/>
  <sheetViews>
    <sheetView workbookViewId="0"/>
  </sheetViews>
  <sheetData>
    <row r="1">
      <c r="A1" t="str">
        <v>Товар</v>
      </c>
      <c r="B1" t="str">
        <v>Категория</v>
      </c>
      <c r="C1" t="str">
        <v>Остаток</v>
      </c>
      <c r="D1" t="str">
        <v>Мин. остаток</v>
      </c>
      <c r="E1" t="str">
        <v>Статус</v>
      </c>
    </row>
    <row r="2">
      <c r="A2" t="str">
        <v>Ноутбук</v>
      </c>
      <c r="B2" t="str">
        <v>Электроника</v>
      </c>
      <c r="C2">
        <v>50</v>
      </c>
      <c r="D2">
        <v>10</v>
      </c>
      <c r="E2" t="str">
        <f>IF(C2&gt;D2,"OK","Мало")</f>
        <v>OK</v>
      </c>
    </row>
    <row r="3">
      <c r="A3" t="str">
        <v>Телефон</v>
      </c>
      <c r="B3" t="str">
        <v>Электроника</v>
      </c>
      <c r="C3">
        <v>5</v>
      </c>
      <c r="D3">
        <v>10</v>
      </c>
      <c r="E3" t="str">
        <f>IF(C3&gt;D3,"OK","Мало")</f>
        <v>Мало</v>
      </c>
    </row>
    <row r="4">
      <c r="A4" t="str">
        <v>Стол</v>
      </c>
      <c r="B4" t="str">
        <v>Мебель</v>
      </c>
      <c r="C4">
        <v>30</v>
      </c>
      <c r="D4">
        <v>5</v>
      </c>
      <c r="E4" t="str">
        <f>IF(C4&gt;D4,"OK","Мало")</f>
        <v>OK</v>
      </c>
    </row>
    <row r="5">
      <c r="A5" t="str">
        <v>Кресло</v>
      </c>
      <c r="B5" t="str">
        <v>Мебель</v>
      </c>
      <c r="C5">
        <v>100</v>
      </c>
      <c r="D5">
        <v>20</v>
      </c>
      <c r="E5" t="str">
        <f>IF(C5&gt;D5,"OK","Мало")</f>
        <v>OK</v>
      </c>
    </row>
    <row r="6">
      <c r="A6" t="str">
        <v>Монитор</v>
      </c>
      <c r="B6" t="str">
        <v>Электроника</v>
      </c>
      <c r="C6">
        <v>8</v>
      </c>
      <c r="D6">
        <v>15</v>
      </c>
      <c r="E6" t="str">
        <f>IF(C6&gt;D6,"OK","Мало")</f>
        <v>Мало</v>
      </c>
    </row>
  </sheetData>
  <ignoredErrors>
    <ignoredError numberStoredAsText="1" sqref="A1:E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Сотрудники</vt:lpstr>
      <vt:lpstr>Продажи</vt:lpstr>
      <vt:lpstr>Склад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